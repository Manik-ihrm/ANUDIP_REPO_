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  <sheet xmlns:r="http://schemas.openxmlformats.org/officeDocument/2006/relationships" name="Exercises" sheetId="2" state="visible" r:id="rId2"/>
    <sheet xmlns:r="http://schemas.openxmlformats.org/officeDocument/2006/relationships" name="Answers" sheetId="3" state="visible" r:id="rId3"/>
  </sheets>
  <definedNames>
    <definedName name="_xlnm._FilterDatabase" localSheetId="0" hidden="1">'SalesData'!$A$1:$F$7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>
      <color rgb="0000800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Product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</row>
    <row r="2">
      <c r="A2" s="2" t="inlineStr">
        <is>
          <t>Product A</t>
        </is>
      </c>
      <c r="B2" s="3" t="n">
        <v>120</v>
      </c>
      <c r="C2" s="3" t="n">
        <v>130</v>
      </c>
      <c r="D2" s="3" t="n">
        <v>140</v>
      </c>
      <c r="E2" s="3" t="n">
        <v>150</v>
      </c>
      <c r="F2" s="3" t="n">
        <v>160</v>
      </c>
    </row>
    <row r="3">
      <c r="A3" s="2" t="inlineStr">
        <is>
          <t>Product B</t>
        </is>
      </c>
      <c r="B3" s="3" t="n">
        <v>150</v>
      </c>
      <c r="C3" s="3" t="n">
        <v>160</v>
      </c>
      <c r="D3" s="3" t="n">
        <v>170</v>
      </c>
      <c r="E3" s="3" t="n">
        <v>180</v>
      </c>
      <c r="F3" s="3" t="n">
        <v>190</v>
      </c>
    </row>
    <row r="4">
      <c r="A4" s="2" t="inlineStr">
        <is>
          <t>Product C</t>
        </is>
      </c>
      <c r="B4" s="3" t="n">
        <v>200</v>
      </c>
      <c r="C4" s="3" t="n">
        <v>210</v>
      </c>
      <c r="D4" s="3" t="n">
        <v>220</v>
      </c>
      <c r="E4" s="3" t="n">
        <v>230</v>
      </c>
      <c r="F4" s="3" t="n">
        <v>240</v>
      </c>
    </row>
    <row r="5">
      <c r="A5" s="2" t="inlineStr">
        <is>
          <t>Product D</t>
        </is>
      </c>
      <c r="B5" s="3" t="n">
        <v>90</v>
      </c>
      <c r="C5" s="3" t="n">
        <v>100</v>
      </c>
      <c r="D5" s="3" t="n">
        <v>110</v>
      </c>
      <c r="E5" s="3" t="n">
        <v>120</v>
      </c>
      <c r="F5" s="3" t="n">
        <v>130</v>
      </c>
    </row>
    <row r="6">
      <c r="A6" s="2" t="inlineStr">
        <is>
          <t>Product E</t>
        </is>
      </c>
      <c r="B6" s="3" t="n">
        <v>220</v>
      </c>
      <c r="C6" s="3" t="n">
        <v>230</v>
      </c>
      <c r="D6" s="3" t="n">
        <v>240</v>
      </c>
      <c r="E6" s="3" t="n">
        <v>250</v>
      </c>
      <c r="F6" s="3" t="n">
        <v>260</v>
      </c>
    </row>
    <row r="7">
      <c r="A7" s="2" t="inlineStr">
        <is>
          <t>Product F</t>
        </is>
      </c>
      <c r="B7" s="3" t="n">
        <v>130</v>
      </c>
      <c r="C7" s="3" t="n">
        <v>140</v>
      </c>
      <c r="D7" s="3" t="n">
        <v>150</v>
      </c>
      <c r="E7" s="3" t="n">
        <v>160</v>
      </c>
      <c r="F7" s="3" t="n">
        <v>170</v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5" customWidth="1" min="1" max="1"/>
  </cols>
  <sheetData>
    <row r="1">
      <c r="A1" s="4" t="inlineStr">
        <is>
          <t>HLOOKUP Exercises</t>
        </is>
      </c>
    </row>
    <row r="2">
      <c r="A2" t="inlineStr">
        <is>
          <t>1. Use HLOOKUP to find the sales for Product A in March.</t>
        </is>
      </c>
    </row>
    <row r="3" ht="35" customHeight="1">
      <c r="A3" s="5" t="inlineStr">
        <is>
          <t>2. Use HLOOKUP to find the sales for Product D in May.</t>
        </is>
      </c>
    </row>
    <row r="4" ht="35" customHeight="1">
      <c r="A4" s="5" t="inlineStr">
        <is>
          <t>3. Use HLOOKUP to find the sales for Product C in February.</t>
        </is>
      </c>
    </row>
    <row r="5" ht="35" customHeight="1">
      <c r="A5" s="5" t="inlineStr">
        <is>
          <t>4. Use HLOOKUP to find the sales for each month for Product A, then calculate the total sales.</t>
        </is>
      </c>
    </row>
    <row r="6" ht="35" customHeight="1">
      <c r="A6" s="5" t="inlineStr">
        <is>
          <t>5. Use HLOOKUP to find the maximum sales value for Product B across all months.</t>
        </is>
      </c>
    </row>
    <row r="7" ht="35" customHeight="1">
      <c r="A7" s="5" t="inlineStr">
        <is>
          <t>6. Use HLOOKUP to find the minimum sales value for Product F across all months.</t>
        </is>
      </c>
    </row>
    <row r="8" ht="35" customHeight="1">
      <c r="A8" s="5" t="inlineStr">
        <is>
          <t>7. Use HLOOKUP to find the average sales value for Product E across all months.</t>
        </is>
      </c>
    </row>
    <row r="9" ht="35" customHeight="1">
      <c r="A9" s="5" t="n"/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6" customWidth="1" min="1" max="1"/>
    <col width="5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6" t="inlineStr">
        <is>
          <t>Question</t>
        </is>
      </c>
      <c r="B1" s="6" t="inlineStr">
        <is>
          <t>Formula / Calculation</t>
        </is>
      </c>
      <c r="C1" s="6" t="inlineStr">
        <is>
          <t>Expected Result</t>
        </is>
      </c>
      <c r="D1" s="7" t="n"/>
      <c r="E1" s="7" t="n"/>
      <c r="F1" s="7" t="n"/>
      <c r="G1" s="7" t="n"/>
      <c r="H1" s="7" t="n"/>
    </row>
    <row r="2">
      <c r="A2" s="7" t="inlineStr">
        <is>
          <t>1</t>
        </is>
      </c>
      <c r="B2" s="8">
        <f>HLOOKUP("Mar",SalesData!$A$1:$F$7,2,FALSE)</f>
        <v/>
      </c>
      <c r="C2" s="7" t="n">
        <v>140</v>
      </c>
      <c r="D2" s="7" t="n"/>
      <c r="E2" s="7" t="n"/>
      <c r="F2" s="7" t="n"/>
      <c r="G2" s="7" t="n"/>
      <c r="H2" s="7" t="n"/>
    </row>
    <row r="3">
      <c r="A3" s="7" t="inlineStr">
        <is>
          <t>2</t>
        </is>
      </c>
      <c r="B3" s="8">
        <f>HLOOKUP("May",SalesData!$A$1:$F$7,5,FALSE)</f>
        <v/>
      </c>
      <c r="C3" s="7" t="n">
        <v>130</v>
      </c>
      <c r="D3" s="7" t="n"/>
      <c r="E3" s="7" t="n"/>
      <c r="F3" s="7" t="n"/>
      <c r="G3" s="7" t="n"/>
      <c r="H3" s="7" t="n"/>
    </row>
    <row r="4">
      <c r="A4" s="7" t="inlineStr">
        <is>
          <t>3</t>
        </is>
      </c>
      <c r="B4" s="8">
        <f>HLOOKUP("Feb",SalesData!$A$1:$F$7,4,FALSE)</f>
        <v/>
      </c>
      <c r="C4" s="7" t="n">
        <v>210</v>
      </c>
      <c r="D4" s="7" t="n"/>
      <c r="E4" s="7" t="n"/>
      <c r="F4" s="7" t="n"/>
      <c r="G4" s="7" t="n"/>
      <c r="H4" s="7" t="n"/>
    </row>
    <row r="5">
      <c r="A5" s="7" t="inlineStr">
        <is>
          <t>4 - Jan</t>
        </is>
      </c>
      <c r="B5" s="8">
        <f>HLOOKUP("Jan",SalesData!$A$1:$F$7,2,FALSE)</f>
        <v/>
      </c>
      <c r="C5" s="7" t="n">
        <v>120</v>
      </c>
      <c r="D5" s="7" t="n"/>
      <c r="E5" s="7" t="n"/>
      <c r="F5" s="7" t="n"/>
      <c r="G5" s="7" t="n"/>
      <c r="H5" s="7" t="n"/>
    </row>
    <row r="6">
      <c r="A6" s="7" t="inlineStr">
        <is>
          <t>4 - Feb</t>
        </is>
      </c>
      <c r="B6" s="8">
        <f>HLOOKUP("Feb",SalesData!$A$1:$F$7,2,FALSE)</f>
        <v/>
      </c>
      <c r="C6" s="7" t="n">
        <v>130</v>
      </c>
      <c r="D6" s="7" t="n"/>
      <c r="E6" s="7" t="n"/>
      <c r="F6" s="7" t="n"/>
      <c r="G6" s="7" t="n"/>
      <c r="H6" s="7" t="n"/>
    </row>
    <row r="7">
      <c r="A7" s="7" t="inlineStr">
        <is>
          <t>4 - Mar</t>
        </is>
      </c>
      <c r="B7" s="8">
        <f>HLOOKUP("Mar",SalesData!$A$1:$F$7,2,FALSE)</f>
        <v/>
      </c>
      <c r="C7" s="7" t="n">
        <v>140</v>
      </c>
      <c r="D7" s="7" t="n"/>
      <c r="E7" s="7" t="n"/>
      <c r="F7" s="7" t="n"/>
      <c r="G7" s="7" t="n"/>
      <c r="H7" s="7" t="n"/>
    </row>
    <row r="8">
      <c r="A8" s="7" t="inlineStr">
        <is>
          <t>4 - Apr</t>
        </is>
      </c>
      <c r="B8" s="8">
        <f>HLOOKUP("Apr",SalesData!$A$1:$F$7,2,FALSE)</f>
        <v/>
      </c>
      <c r="C8" s="7" t="n">
        <v>150</v>
      </c>
      <c r="D8" s="7" t="n"/>
      <c r="E8" s="7" t="n"/>
      <c r="F8" s="7" t="n"/>
      <c r="G8" s="7" t="n"/>
      <c r="H8" s="7" t="n"/>
    </row>
    <row r="9">
      <c r="A9" s="7" t="inlineStr">
        <is>
          <t>4 - May</t>
        </is>
      </c>
      <c r="B9" s="8">
        <f>HLOOKUP("May",SalesData!$A$1:$F$7,2,FALSE)</f>
        <v/>
      </c>
      <c r="C9" s="7" t="n">
        <v>160</v>
      </c>
      <c r="D9" s="7" t="n"/>
      <c r="E9" s="7" t="n"/>
      <c r="F9" s="7" t="n"/>
      <c r="G9" s="7" t="n"/>
      <c r="H9" s="7" t="n"/>
    </row>
    <row r="10">
      <c r="A10" s="7" t="inlineStr">
        <is>
          <t>4 - Total</t>
        </is>
      </c>
      <c r="B10" s="8">
        <f>SUM(C5:C9)</f>
        <v/>
      </c>
      <c r="C10" s="7" t="n">
        <v>700</v>
      </c>
      <c r="D10" s="7" t="n"/>
      <c r="E10" s="7" t="n"/>
      <c r="F10" s="7" t="n"/>
      <c r="G10" s="7" t="n"/>
      <c r="H10" s="7" t="n"/>
      <c r="J10" s="9" t="inlineStr">
        <is>
          <t>Final Answers</t>
        </is>
      </c>
    </row>
    <row r="11">
      <c r="A11" s="7" t="inlineStr">
        <is>
          <t>Q5 - Product B</t>
        </is>
      </c>
      <c r="B11" s="7" t="inlineStr">
        <is>
          <t>Jan–May values</t>
        </is>
      </c>
      <c r="C11" s="8">
        <f>HLOOKUP("Jan",SalesData!$A$1:$F$7,3,FALSE)</f>
        <v/>
      </c>
      <c r="D11" s="8">
        <f>HLOOKUP("Feb",SalesData!$A$1:$F$7,3,FALSE)</f>
        <v/>
      </c>
      <c r="E11" s="8">
        <f>HLOOKUP("Mar",SalesData!$A$1:$F$7,3,FALSE)</f>
        <v/>
      </c>
      <c r="F11" s="8">
        <f>HLOOKUP("Apr",SalesData!$A$1:$F$7,3,FALSE)</f>
        <v/>
      </c>
      <c r="G11" s="8">
        <f>HLOOKUP("May",SalesData!$A$1:$F$7,3,FALSE)</f>
        <v/>
      </c>
      <c r="H11" s="8">
        <f>MAX(C11:G11)</f>
        <v/>
      </c>
      <c r="J11" s="10" t="inlineStr">
        <is>
          <t>Q5 Maximum (Product B)</t>
        </is>
      </c>
      <c r="K11" s="10" t="n">
        <v>190</v>
      </c>
    </row>
    <row r="12">
      <c r="A12" s="7" t="inlineStr">
        <is>
          <t>Q6 - Product F</t>
        </is>
      </c>
      <c r="B12" s="7" t="inlineStr">
        <is>
          <t>Jan–May values</t>
        </is>
      </c>
      <c r="C12" s="8">
        <f>HLOOKUP("Jan",SalesData!$A$1:$F$7,7,FALSE)</f>
        <v/>
      </c>
      <c r="D12" s="8">
        <f>HLOOKUP("Feb",SalesData!$A$1:$F$7,7,FALSE)</f>
        <v/>
      </c>
      <c r="E12" s="8">
        <f>HLOOKUP("Mar",SalesData!$A$1:$F$7,7,FALSE)</f>
        <v/>
      </c>
      <c r="F12" s="8">
        <f>HLOOKUP("Apr",SalesData!$A$1:$F$7,7,FALSE)</f>
        <v/>
      </c>
      <c r="G12" s="8">
        <f>HLOOKUP("May",SalesData!$A$1:$F$7,7,FALSE)</f>
        <v/>
      </c>
      <c r="H12" s="8">
        <f>MIN(C12:G12)</f>
        <v/>
      </c>
      <c r="J12" s="10" t="inlineStr">
        <is>
          <t>Q6 Minimum (Product F)</t>
        </is>
      </c>
      <c r="K12" s="10" t="n">
        <v>130</v>
      </c>
    </row>
    <row r="13">
      <c r="A13" s="7" t="inlineStr">
        <is>
          <t>Q7 - Product E</t>
        </is>
      </c>
      <c r="B13" s="7" t="inlineStr">
        <is>
          <t>Jan–May values</t>
        </is>
      </c>
      <c r="C13" s="8">
        <f>HLOOKUP("Jan",SalesData!$A$1:$F$7,6,FALSE)</f>
        <v/>
      </c>
      <c r="D13" s="8">
        <f>HLOOKUP("Feb",SalesData!$A$1:$F$7,6,FALSE)</f>
        <v/>
      </c>
      <c r="E13" s="8">
        <f>HLOOKUP("Mar",SalesData!$A$1:$F$7,6,FALSE)</f>
        <v/>
      </c>
      <c r="F13" s="8">
        <f>HLOOKUP("Apr",SalesData!$A$1:$F$7,6,FALSE)</f>
        <v/>
      </c>
      <c r="G13" s="8">
        <f>HLOOKUP("May",SalesData!$A$1:$F$7,6,FALSE)</f>
        <v/>
      </c>
      <c r="H13" s="8">
        <f>AVERAGE(C13:G13)</f>
        <v/>
      </c>
      <c r="J13" s="10" t="inlineStr">
        <is>
          <t>Q7 Average (Product E)</t>
        </is>
      </c>
      <c r="K13" s="10" t="n">
        <v>240</v>
      </c>
    </row>
    <row r="14"/>
    <row r="15"/>
    <row r="16">
      <c r="A16" s="11" t="inlineStr">
        <is>
          <t>Note:</t>
        </is>
      </c>
      <c r="B16" s="12" t="inlineStr">
        <is>
          <t>HLOOKUP searches the top row (Jan–May) and returns the value from the specified row. FALSE is used for an exact match.</t>
        </is>
      </c>
    </row>
    <row r="17"/>
  </sheetData>
  <mergeCells count="1">
    <mergeCell ref="B16:H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2026-08-09T16:17:33Z</dcterms:created>
  <dcterms:modified xmlns:dcterms="http://purl.org/dc/terms/" xmlns:xsi="http://www.w3.org/2001/XMLSchema-instance" xsi:type="dcterms:W3CDTF">2026-08-09T16:17:33Z</dcterms:modified>
</cp:coreProperties>
</file>