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65" documentId="11_E60897F41BE170836B02CE998F75CCDC64E183C8" xr6:coauthVersionLast="47" xr6:coauthVersionMax="47" xr10:uidLastSave="{2999BAB0-0F45-4902-B18F-15948A575A0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M3" i="1"/>
  <c r="M4" i="1"/>
  <c r="M5" i="1"/>
  <c r="M6" i="1"/>
  <c r="M7" i="1"/>
  <c r="M8" i="1"/>
  <c r="M2" i="1"/>
  <c r="L3" i="1"/>
  <c r="L4" i="1"/>
  <c r="L5" i="1"/>
  <c r="L6" i="1"/>
  <c r="L7" i="1"/>
  <c r="L8" i="1"/>
  <c r="L2" i="1"/>
  <c r="K3" i="1"/>
  <c r="K4" i="1"/>
  <c r="K5" i="1"/>
  <c r="K6" i="1"/>
  <c r="K7" i="1"/>
  <c r="K8" i="1"/>
  <c r="K2" i="1"/>
  <c r="J3" i="1"/>
  <c r="J4" i="1"/>
  <c r="J5" i="1"/>
  <c r="J6" i="1"/>
  <c r="J7" i="1"/>
  <c r="J8" i="1"/>
  <c r="J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<sst xmlns="http://schemas.openxmlformats.org/spreadsheetml/2006/main" count="30" uniqueCount="28">
  <si>
    <t>A</t>
  </si>
  <si>
    <t>B</t>
  </si>
  <si>
    <t>C</t>
  </si>
  <si>
    <t>D</t>
  </si>
  <si>
    <t>E</t>
  </si>
  <si>
    <t>Q1</t>
  </si>
  <si>
    <t>Q2</t>
  </si>
  <si>
    <t>Q3</t>
  </si>
  <si>
    <t>Q4</t>
  </si>
  <si>
    <t>Q5</t>
  </si>
  <si>
    <t>Q6</t>
  </si>
  <si>
    <t>Q7</t>
  </si>
  <si>
    <t>Q8</t>
  </si>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</sst>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L1" sqref="L1:L8"/>
    </sheetView>
  </sheetViews>
  <sheetFormatPr defaultRowHeight="15"/>
  <cols>
    <col min="1" max="1" width="10" bestFit="1" customWidth="1"/>
    <col min="2" max="2" width="9.85546875" bestFit="1" customWidth="1"/>
    <col min="3" max="3" width="5.7109375" bestFit="1" customWidth="1"/>
    <col min="4" max="4" width="6.85546875" bestFit="1" customWidth="1"/>
    <col min="7" max="7" width="11.140625" bestFit="1" customWidth="1"/>
    <col min="8" max="8" width="5.140625" bestFit="1" customWidth="1"/>
    <col min="9" max="9" width="4.140625" bestFit="1" customWidth="1"/>
    <col min="10" max="10" width="19.28515625" bestFit="1" customWidth="1"/>
    <col min="11" max="11" width="8.42578125" bestFit="1" customWidth="1"/>
    <col min="12" max="12" width="4.42578125" bestFit="1" customWidth="1"/>
    <col min="13" max="13" width="14.7109375" bestFit="1" customWidth="1"/>
  </cols>
  <sheetData>
    <row r="1" spans="1:14">
      <c r="A1" s="3" t="s">
        <v>0</v>
      </c>
      <c r="B1" s="4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1"/>
    </row>
    <row r="2" spans="1:14">
      <c r="A2" s="3" t="s">
        <v>13</v>
      </c>
      <c r="B2" s="4" t="s">
        <v>14</v>
      </c>
      <c r="C2" s="3" t="s">
        <v>15</v>
      </c>
      <c r="D2" s="3" t="s">
        <v>16</v>
      </c>
      <c r="E2" s="2" t="s">
        <v>17</v>
      </c>
      <c r="F2" s="3" t="str">
        <f>IF(C2&gt;=D2,"Met Target","Not Met")</f>
        <v>Not Met</v>
      </c>
      <c r="G2" s="3" t="str">
        <f>IF(AND(E2="North",C2&gt;200),"Eligible","Not Eligible")</f>
        <v>Not Eligible</v>
      </c>
      <c r="H2" s="2">
        <f>IF(C2&gt;=200,10%,IF(C2&gt;=150,7%,5%))</f>
        <v>0.1</v>
      </c>
      <c r="I2" s="3">
        <f>IF(C3&gt;=D3,C3*10%,C3*5%)</f>
        <v>6</v>
      </c>
      <c r="J2" s="3" t="str">
        <f>IF(C2&gt;=200,"Excellent",IF(C2&gt;=150,"Good","Needs Improvement"))</f>
        <v>Excellent</v>
      </c>
      <c r="K2" s="3" t="str">
        <f>IF(C2&gt;200,"High",IF(C2&gt;=100,"Medium","Low"))</f>
        <v>High</v>
      </c>
      <c r="L2" s="2">
        <f>IF(AND(C2&gt;=150,E2="North"),500,300)</f>
        <v>300</v>
      </c>
      <c r="M2" s="3" t="str">
        <f>IF(C2&gt;=_xlfn.QUARTILE.INC($C$2:$C$7,3),"High Performer","Normal")</f>
        <v>High Performer</v>
      </c>
      <c r="N2" s="1"/>
    </row>
    <row r="3" spans="1:14">
      <c r="A3" s="3">
        <v>101</v>
      </c>
      <c r="B3" s="4" t="s">
        <v>18</v>
      </c>
      <c r="C3" s="3">
        <v>120</v>
      </c>
      <c r="D3" s="3">
        <v>150</v>
      </c>
      <c r="E3" s="2" t="s">
        <v>19</v>
      </c>
      <c r="F3" s="3" t="str">
        <f t="shared" ref="F3:F8" si="0">IF(C3&gt;=D3,"Met Target","Not Met")</f>
        <v>Not Met</v>
      </c>
      <c r="G3" s="3" t="str">
        <f t="shared" ref="G3:G8" si="1">IF(AND(E3="North",C3&gt;200),"Eligible","Not Eligible")</f>
        <v>Not Eligible</v>
      </c>
      <c r="H3" s="2">
        <f t="shared" ref="H3:H8" si="2">IF(C3&gt;=200,10%,IF(C3&gt;=150,7%,5%))</f>
        <v>0.05</v>
      </c>
      <c r="I3" s="3">
        <f t="shared" ref="I3:I8" si="3">IF(C4&gt;=D4,C4*10%,C4*5%)</f>
        <v>15</v>
      </c>
      <c r="J3" s="3" t="str">
        <f t="shared" ref="J3:J8" si="4">IF(C3&gt;=200,"Excellent",IF(C3&gt;=150,"Good","Needs Improvement"))</f>
        <v>Needs Improvement</v>
      </c>
      <c r="K3" s="3" t="str">
        <f t="shared" ref="K3:K8" si="5">IF(C3&gt;200,"High",IF(C3&gt;=100,"Medium","Low"))</f>
        <v>Medium</v>
      </c>
      <c r="L3" s="2">
        <f t="shared" ref="L3:L8" si="6">IF(AND(C3&gt;=150,E3="North"),500,300)</f>
        <v>300</v>
      </c>
      <c r="M3" s="3" t="str">
        <f t="shared" ref="M3:M8" si="7">IF(C3&gt;=_xlfn.QUARTILE.INC($C$2:$C$7,3),"High Performer","Normal")</f>
        <v>Normal</v>
      </c>
      <c r="N3" s="1"/>
    </row>
    <row r="4" spans="1:14">
      <c r="A4" s="3">
        <v>102</v>
      </c>
      <c r="B4" s="4" t="s">
        <v>20</v>
      </c>
      <c r="C4" s="3">
        <v>150</v>
      </c>
      <c r="D4" s="3">
        <v>140</v>
      </c>
      <c r="E4" s="2" t="s">
        <v>21</v>
      </c>
      <c r="F4" s="3" t="str">
        <f t="shared" si="0"/>
        <v>Met Target</v>
      </c>
      <c r="G4" s="3" t="str">
        <f t="shared" si="1"/>
        <v>Not Eligible</v>
      </c>
      <c r="H4" s="2">
        <f t="shared" si="2"/>
        <v>7.0000000000000007E-2</v>
      </c>
      <c r="I4" s="3">
        <f t="shared" si="3"/>
        <v>20</v>
      </c>
      <c r="J4" s="3" t="str">
        <f t="shared" si="4"/>
        <v>Good</v>
      </c>
      <c r="K4" s="3" t="str">
        <f t="shared" si="5"/>
        <v>Medium</v>
      </c>
      <c r="L4" s="2">
        <f t="shared" si="6"/>
        <v>300</v>
      </c>
      <c r="M4" s="3" t="str">
        <f t="shared" si="7"/>
        <v>Normal</v>
      </c>
      <c r="N4" s="1"/>
    </row>
    <row r="5" spans="1:14">
      <c r="A5" s="3">
        <v>103</v>
      </c>
      <c r="B5" s="4" t="s">
        <v>22</v>
      </c>
      <c r="C5" s="3">
        <v>200</v>
      </c>
      <c r="D5" s="3">
        <v>200</v>
      </c>
      <c r="E5" s="2" t="s">
        <v>23</v>
      </c>
      <c r="F5" s="3" t="str">
        <f t="shared" si="0"/>
        <v>Met Target</v>
      </c>
      <c r="G5" s="3" t="str">
        <f t="shared" si="1"/>
        <v>Not Eligible</v>
      </c>
      <c r="H5" s="2">
        <f t="shared" si="2"/>
        <v>0.1</v>
      </c>
      <c r="I5" s="3">
        <f t="shared" si="3"/>
        <v>4.5</v>
      </c>
      <c r="J5" s="3" t="str">
        <f t="shared" si="4"/>
        <v>Excellent</v>
      </c>
      <c r="K5" s="3" t="str">
        <f t="shared" si="5"/>
        <v>Medium</v>
      </c>
      <c r="L5" s="2">
        <f t="shared" si="6"/>
        <v>300</v>
      </c>
      <c r="M5" s="3" t="str">
        <f t="shared" si="7"/>
        <v>High Performer</v>
      </c>
      <c r="N5" s="1"/>
    </row>
    <row r="6" spans="1:14">
      <c r="A6" s="3">
        <v>104</v>
      </c>
      <c r="B6" s="4" t="s">
        <v>24</v>
      </c>
      <c r="C6" s="3">
        <v>90</v>
      </c>
      <c r="D6" s="3">
        <v>100</v>
      </c>
      <c r="E6" s="2" t="s">
        <v>25</v>
      </c>
      <c r="F6" s="3" t="str">
        <f t="shared" si="0"/>
        <v>Not Met</v>
      </c>
      <c r="G6" s="3" t="str">
        <f t="shared" si="1"/>
        <v>Not Eligible</v>
      </c>
      <c r="H6" s="2">
        <f t="shared" si="2"/>
        <v>0.05</v>
      </c>
      <c r="I6" s="3">
        <f t="shared" si="3"/>
        <v>22</v>
      </c>
      <c r="J6" s="3" t="str">
        <f t="shared" si="4"/>
        <v>Needs Improvement</v>
      </c>
      <c r="K6" s="3" t="str">
        <f t="shared" si="5"/>
        <v>Low</v>
      </c>
      <c r="L6" s="2">
        <f t="shared" si="6"/>
        <v>300</v>
      </c>
      <c r="M6" s="3" t="str">
        <f t="shared" si="7"/>
        <v>Normal</v>
      </c>
      <c r="N6" s="1"/>
    </row>
    <row r="7" spans="1:14">
      <c r="A7" s="3">
        <v>105</v>
      </c>
      <c r="B7" s="4" t="s">
        <v>26</v>
      </c>
      <c r="C7" s="3">
        <v>220</v>
      </c>
      <c r="D7" s="3">
        <v>210</v>
      </c>
      <c r="E7" s="2" t="s">
        <v>19</v>
      </c>
      <c r="F7" s="3" t="str">
        <f t="shared" si="0"/>
        <v>Met Target</v>
      </c>
      <c r="G7" s="3" t="str">
        <f t="shared" si="1"/>
        <v>Eligible</v>
      </c>
      <c r="H7" s="2">
        <f t="shared" si="2"/>
        <v>0.1</v>
      </c>
      <c r="I7" s="3">
        <f t="shared" si="3"/>
        <v>6.5</v>
      </c>
      <c r="J7" s="3" t="str">
        <f t="shared" si="4"/>
        <v>Excellent</v>
      </c>
      <c r="K7" s="3" t="str">
        <f t="shared" si="5"/>
        <v>High</v>
      </c>
      <c r="L7" s="2">
        <f t="shared" si="6"/>
        <v>500</v>
      </c>
      <c r="M7" s="3" t="str">
        <f t="shared" si="7"/>
        <v>High Performer</v>
      </c>
      <c r="N7" s="1"/>
    </row>
    <row r="8" spans="1:14">
      <c r="A8" s="3">
        <v>106</v>
      </c>
      <c r="B8" s="4" t="s">
        <v>27</v>
      </c>
      <c r="C8" s="3">
        <v>130</v>
      </c>
      <c r="D8" s="3">
        <v>160</v>
      </c>
      <c r="E8" s="2" t="s">
        <v>21</v>
      </c>
      <c r="F8" s="3" t="str">
        <f t="shared" si="0"/>
        <v>Not Met</v>
      </c>
      <c r="G8" s="3" t="str">
        <f t="shared" si="1"/>
        <v>Not Eligible</v>
      </c>
      <c r="H8" s="2">
        <f t="shared" si="2"/>
        <v>0.05</v>
      </c>
      <c r="I8" s="3">
        <f t="shared" si="3"/>
        <v>0</v>
      </c>
      <c r="J8" s="3" t="str">
        <f t="shared" si="4"/>
        <v>Needs Improvement</v>
      </c>
      <c r="K8" s="3" t="str">
        <f t="shared" si="5"/>
        <v>Medium</v>
      </c>
      <c r="L8" s="2">
        <f t="shared" si="6"/>
        <v>300</v>
      </c>
      <c r="M8" s="3" t="str">
        <f t="shared" si="7"/>
        <v>Normal</v>
      </c>
      <c r="N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Manik Mondal</cp:lastModifiedBy>
  <cp:revision/>
  <dcterms:created xsi:type="dcterms:W3CDTF">2026-07-24T10:53:27Z</dcterms:created>
  <dcterms:modified xsi:type="dcterms:W3CDTF">2026-08-03T05:01:41Z</dcterms:modified>
  <cp:category/>
  <cp:contentStatus/>
</cp:coreProperties>
</file>