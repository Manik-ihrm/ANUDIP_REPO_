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xercises" sheetId="3" state="visible" r:id="rId3"/>
    <sheet xmlns:r="http://schemas.openxmlformats.org/officeDocument/2006/relationships" name="Answer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</cols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Price</t>
        </is>
      </c>
    </row>
    <row r="2">
      <c r="A2" s="2" t="n">
        <v>101</v>
      </c>
      <c r="B2" s="2" t="inlineStr">
        <is>
          <t>Product A</t>
        </is>
      </c>
      <c r="C2" s="2" t="n">
        <v>120</v>
      </c>
    </row>
    <row r="3">
      <c r="A3" s="2" t="n">
        <v>102</v>
      </c>
      <c r="B3" s="2" t="inlineStr">
        <is>
          <t>Product B</t>
        </is>
      </c>
      <c r="C3" s="2" t="n">
        <v>150</v>
      </c>
    </row>
    <row r="4">
      <c r="A4" s="2" t="n">
        <v>103</v>
      </c>
      <c r="B4" s="2" t="inlineStr">
        <is>
          <t>Product C</t>
        </is>
      </c>
      <c r="C4" s="2" t="n">
        <v>200</v>
      </c>
    </row>
    <row r="5">
      <c r="A5" s="2" t="n">
        <v>104</v>
      </c>
      <c r="B5" s="2" t="inlineStr">
        <is>
          <t>Product D</t>
        </is>
      </c>
      <c r="C5" s="2" t="n">
        <v>90</v>
      </c>
    </row>
    <row r="6">
      <c r="A6" s="2" t="n">
        <v>105</v>
      </c>
      <c r="B6" s="2" t="inlineStr">
        <is>
          <t>Product E</t>
        </is>
      </c>
      <c r="C6" s="2" t="n">
        <v>220</v>
      </c>
    </row>
    <row r="7">
      <c r="A7" s="2" t="n">
        <v>106</v>
      </c>
      <c r="B7" s="2" t="inlineStr">
        <is>
          <t>Product F</t>
        </is>
      </c>
      <c r="C7" s="2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2" customWidth="1" min="5" max="5"/>
    <col width="14" customWidth="1" min="6" max="6"/>
    <col width="15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Product</t>
        </is>
      </c>
      <c r="E1" s="1" t="inlineStr">
        <is>
          <t>Price</t>
        </is>
      </c>
      <c r="F1" s="1" t="inlineStr">
        <is>
          <t>TotalPrice</t>
        </is>
      </c>
      <c r="G1" s="1" t="inlineStr">
        <is>
          <t>Original Price</t>
        </is>
      </c>
      <c r="H1" s="1" t="inlineStr">
        <is>
          <t>Discount %</t>
        </is>
      </c>
      <c r="I1" s="1" t="inlineStr">
        <is>
          <t>Discounted Price</t>
        </is>
      </c>
      <c r="J1" s="1" t="inlineStr">
        <is>
          <t>Order Value</t>
        </is>
      </c>
    </row>
    <row r="2">
      <c r="A2" s="2" t="n">
        <v>1</v>
      </c>
      <c r="B2" s="2" t="n">
        <v>101</v>
      </c>
      <c r="C2" s="2" t="n">
        <v>2</v>
      </c>
      <c r="D2" s="2">
        <f>VLOOKUP(B2,Products!$A$2:$C$7,2,FALSE)</f>
        <v/>
      </c>
      <c r="E2" s="3">
        <f>VLOOKUP(B2,Products!$A$2:$C$7,3,FALSE)</f>
        <v/>
      </c>
      <c r="F2" s="3">
        <f>C2*E2</f>
        <v/>
      </c>
      <c r="G2" s="3">
        <f>VLOOKUP(B2,Products!$A$2:$C$7,3,FALSE)</f>
        <v/>
      </c>
      <c r="H2" s="4" t="n">
        <v>0.1</v>
      </c>
      <c r="I2" s="3">
        <f>G2*(1-H2)</f>
        <v/>
      </c>
      <c r="J2" s="3">
        <f>C2*VLOOKUP(B2,Products!$A$2:$C$7,3,FALSE)</f>
        <v/>
      </c>
    </row>
    <row r="3">
      <c r="A3" s="2" t="n">
        <v>2</v>
      </c>
      <c r="B3" s="2" t="n">
        <v>103</v>
      </c>
      <c r="C3" s="2" t="n">
        <v>1</v>
      </c>
      <c r="D3" s="2">
        <f>VLOOKUP(B3,Products!$A$2:$C$7,2,FALSE)</f>
        <v/>
      </c>
      <c r="E3" s="3">
        <f>VLOOKUP(B3,Products!$A$2:$C$7,3,FALSE)</f>
        <v/>
      </c>
      <c r="F3" s="3">
        <f>C3*E3</f>
        <v/>
      </c>
      <c r="G3" s="3">
        <f>VLOOKUP(B3,Products!$A$2:$C$7,3,FALSE)</f>
        <v/>
      </c>
      <c r="H3" s="4" t="n">
        <v>0.1</v>
      </c>
      <c r="I3" s="3">
        <f>G3*(1-H3)</f>
        <v/>
      </c>
      <c r="J3" s="3">
        <f>C3*VLOOKUP(B3,Products!$A$2:$C$7,3,FALSE)</f>
        <v/>
      </c>
    </row>
    <row r="4">
      <c r="A4" s="2" t="n">
        <v>3</v>
      </c>
      <c r="B4" s="2" t="n">
        <v>105</v>
      </c>
      <c r="C4" s="2" t="n">
        <v>4</v>
      </c>
      <c r="D4" s="2">
        <f>VLOOKUP(B4,Products!$A$2:$C$7,2,FALSE)</f>
        <v/>
      </c>
      <c r="E4" s="3">
        <f>VLOOKUP(B4,Products!$A$2:$C$7,3,FALSE)</f>
        <v/>
      </c>
      <c r="F4" s="3">
        <f>C4*E4</f>
        <v/>
      </c>
      <c r="G4" s="3">
        <f>VLOOKUP(B4,Products!$A$2:$C$7,3,FALSE)</f>
        <v/>
      </c>
      <c r="H4" s="4" t="n">
        <v>0.1</v>
      </c>
      <c r="I4" s="3">
        <f>G4*(1-H4)</f>
        <v/>
      </c>
      <c r="J4" s="3">
        <f>C4*VLOOKUP(B4,Products!$A$2:$C$7,3,FALSE)</f>
        <v/>
      </c>
    </row>
    <row r="5">
      <c r="A5" s="2" t="n">
        <v>4</v>
      </c>
      <c r="B5" s="2" t="n">
        <v>106</v>
      </c>
      <c r="C5" s="2" t="n">
        <v>3</v>
      </c>
      <c r="D5" s="2">
        <f>VLOOKUP(B5,Products!$A$2:$C$7,2,FALSE)</f>
        <v/>
      </c>
      <c r="E5" s="3">
        <f>VLOOKUP(B5,Products!$A$2:$C$7,3,FALSE)</f>
        <v/>
      </c>
      <c r="F5" s="3">
        <f>C5*E5</f>
        <v/>
      </c>
      <c r="G5" s="3">
        <f>VLOOKUP(B5,Products!$A$2:$C$7,3,FALSE)</f>
        <v/>
      </c>
      <c r="H5" s="4" t="n">
        <v>0.1</v>
      </c>
      <c r="I5" s="3">
        <f>G5*(1-H5)</f>
        <v/>
      </c>
      <c r="J5" s="3">
        <f>C5*VLOOKUP(B5,Products!$A$2:$C$7,3,FALSE)</f>
        <v/>
      </c>
    </row>
    <row r="6">
      <c r="A6" s="2" t="n">
        <v>5</v>
      </c>
      <c r="B6" s="2" t="n">
        <v>102</v>
      </c>
      <c r="C6" s="2" t="n">
        <v>5</v>
      </c>
      <c r="D6" s="2">
        <f>VLOOKUP(B6,Products!$A$2:$C$7,2,FALSE)</f>
        <v/>
      </c>
      <c r="E6" s="3">
        <f>VLOOKUP(B6,Products!$A$2:$C$7,3,FALSE)</f>
        <v/>
      </c>
      <c r="F6" s="3">
        <f>C6*E6</f>
        <v/>
      </c>
      <c r="G6" s="3">
        <f>VLOOKUP(B6,Products!$A$2:$C$7,3,FALSE)</f>
        <v/>
      </c>
      <c r="H6" s="4" t="n">
        <v>0.1</v>
      </c>
      <c r="I6" s="3">
        <f>G6*(1-H6)</f>
        <v/>
      </c>
      <c r="J6" s="3">
        <f>C6*VLOOKUP(B6,Products!$A$2:$C$7,3,FALSE)</f>
        <v/>
      </c>
    </row>
    <row r="7">
      <c r="A7" s="2" t="n">
        <v>6</v>
      </c>
      <c r="B7" s="2" t="n">
        <v>104</v>
      </c>
      <c r="C7" s="2" t="n">
        <v>6</v>
      </c>
      <c r="D7" s="2">
        <f>VLOOKUP(B7,Products!$A$2:$C$7,2,FALSE)</f>
        <v/>
      </c>
      <c r="E7" s="3">
        <f>VLOOKUP(B7,Products!$A$2:$C$7,3,FALSE)</f>
        <v/>
      </c>
      <c r="F7" s="3">
        <f>C7*E7</f>
        <v/>
      </c>
      <c r="G7" s="3">
        <f>VLOOKUP(B7,Products!$A$2:$C$7,3,FALSE)</f>
        <v/>
      </c>
      <c r="H7" s="4" t="n">
        <v>0.1</v>
      </c>
      <c r="I7" s="3">
        <f>G7*(1-H7)</f>
        <v/>
      </c>
      <c r="J7" s="3">
        <f>C7*VLOOKUP(B7,Products!$A$2:$C$7,3,FALSE)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VLOOKUP Exercises</t>
        </is>
      </c>
      <c r="B1" s="2" t="n"/>
      <c r="C1" s="2" t="n"/>
      <c r="D1" s="2" t="n"/>
    </row>
    <row r="2">
      <c r="A2" s="2" t="inlineStr">
        <is>
          <t>1. Use VLOOKUP to find the product names for each ProductID in the Orders worksheet.</t>
        </is>
      </c>
      <c r="B2" s="2" t="n"/>
      <c r="C2" s="2" t="n"/>
      <c r="D2" s="2" t="n"/>
    </row>
    <row r="3" ht="38" customHeight="1">
      <c r="A3" s="2" t="inlineStr">
        <is>
          <t>2. Use VLOOKUP to find the price for each ProductID in the Orders worksheet, then calculate the TotalPrice by multiplying the Quantity by the Product Price.</t>
        </is>
      </c>
      <c r="B3" s="2" t="n"/>
      <c r="C3" s="2" t="n"/>
      <c r="D3" s="2" t="n"/>
    </row>
    <row r="4" ht="38" customHeight="1">
      <c r="A4" s="2" t="inlineStr">
        <is>
          <t>3. Use VLOOKUP to check if there are any ProductIDs in the Orders worksheet that do not exist in the Products worksheet.</t>
        </is>
      </c>
      <c r="B4" s="2" t="n"/>
      <c r="C4" s="2" t="n"/>
      <c r="D4" s="2" t="n"/>
    </row>
    <row r="5" ht="38" customHeight="1">
      <c r="A5" s="2" t="inlineStr">
        <is>
          <t>4. Assume a discount of 10% is given on all products. Use VLOOKUP to find the original price and then calculate the discounted price.</t>
        </is>
      </c>
      <c r="B5" s="2" t="n"/>
      <c r="C5" s="2" t="n"/>
      <c r="D5" s="2" t="n"/>
    </row>
    <row r="6" ht="38" customHeight="1">
      <c r="A6" s="2" t="inlineStr">
        <is>
          <t>5. Use VLOOKUP to find the price for each ProductID and then calculate the order value. Find the maximum order value from the list.</t>
        </is>
      </c>
      <c r="B6" s="2" t="n"/>
      <c r="C6" s="2" t="n"/>
      <c r="D6" s="2" t="n"/>
    </row>
    <row r="7" ht="38" customHeight="1">
      <c r="A7" s="2" t="inlineStr">
        <is>
          <t>6. Use VLOOKUP to find out which products from the Products worksheet have not been ordered.</t>
        </is>
      </c>
      <c r="B7" s="2" t="n"/>
      <c r="C7" s="2" t="n"/>
      <c r="D7" s="2" t="n"/>
    </row>
    <row r="8" ht="38" customHeight="1">
      <c r="A8" s="2" t="inlineStr">
        <is>
          <t>7. Use VLOOKUP to find the Product name and summarize the total quantity sold for each product.</t>
        </is>
      </c>
      <c r="B8" s="2" t="n"/>
      <c r="C8" s="2" t="n"/>
      <c r="D8" s="2" t="n"/>
    </row>
    <row r="9" ht="38" customHeight="1"/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38" customWidth="1" min="3" max="3"/>
    <col width="25" customWidth="1" min="5" max="5"/>
    <col width="20" customWidth="1" min="6" max="6"/>
  </cols>
  <sheetData>
    <row r="1">
      <c r="A1" s="6" t="inlineStr">
        <is>
          <t>Exercise</t>
        </is>
      </c>
      <c r="B1" s="6" t="inlineStr">
        <is>
          <t>Formula / Method</t>
        </is>
      </c>
      <c r="C1" s="6" t="inlineStr">
        <is>
          <t>Result</t>
        </is>
      </c>
      <c r="D1" s="6" t="n"/>
      <c r="E1" s="6" t="n"/>
      <c r="F1" s="6" t="n"/>
    </row>
    <row r="2">
      <c r="A2" s="2" t="inlineStr">
        <is>
          <t>1</t>
        </is>
      </c>
      <c r="B2" s="2">
        <f>VLOOKUP(B2,Products!$A$2:$C$7,2,FALSE)</f>
        <v/>
      </c>
      <c r="C2" s="2" t="inlineStr">
        <is>
          <t>Product A, C, E, F, B, D</t>
        </is>
      </c>
      <c r="D2" s="2" t="n"/>
      <c r="E2" s="2" t="n"/>
      <c r="F2" s="2" t="n"/>
    </row>
    <row r="3">
      <c r="A3" s="2" t="inlineStr">
        <is>
          <t>2</t>
        </is>
      </c>
      <c r="B3" s="2">
        <f>C2*VLOOKUP(B2,Products!$A$2:$C$7,3,FALSE)</f>
        <v/>
      </c>
      <c r="C3" s="2" t="inlineStr">
        <is>
          <t>TotalPrice: 240, 200, 880, 390, 750, 540</t>
        </is>
      </c>
      <c r="D3" s="2" t="n"/>
      <c r="E3" s="2" t="n"/>
      <c r="F3" s="2" t="n"/>
    </row>
    <row r="4">
      <c r="A4" s="2" t="inlineStr">
        <is>
          <t>3</t>
        </is>
      </c>
      <c r="B4" s="2">
        <f>IFERROR(VLOOKUP(B2,Products!$A$2:$C$7,2,FALSE),"Not Found")</f>
        <v/>
      </c>
      <c r="C4" s="2" t="inlineStr">
        <is>
          <t>No missing ProductIDs</t>
        </is>
      </c>
      <c r="D4" s="2" t="n"/>
      <c r="E4" s="2" t="n"/>
      <c r="F4" s="2" t="n"/>
    </row>
    <row r="5">
      <c r="A5" s="2" t="inlineStr">
        <is>
          <t>4</t>
        </is>
      </c>
      <c r="B5" s="2">
        <f>VLOOKUP(B2,Products!$A$2:$C$7,3,FALSE)*(1-10%)</f>
        <v/>
      </c>
      <c r="C5" s="2" t="inlineStr">
        <is>
          <t>Discounted prices: 108, 180, 198, 117, 135, 81</t>
        </is>
      </c>
      <c r="D5" s="2" t="n"/>
      <c r="E5" s="2" t="n"/>
      <c r="F5" s="2" t="n"/>
    </row>
    <row r="6">
      <c r="A6" s="2" t="inlineStr">
        <is>
          <t>5</t>
        </is>
      </c>
      <c r="B6" s="2">
        <f>C2*VLOOKUP(B2,Products!$A$2:$C$7,3,FALSE)</f>
        <v/>
      </c>
      <c r="C6" s="2" t="inlineStr">
        <is>
          <t>Maximum order value = 880</t>
        </is>
      </c>
      <c r="D6" s="2" t="n"/>
      <c r="E6" s="2" t="n"/>
      <c r="F6" s="2" t="n"/>
    </row>
    <row r="7">
      <c r="A7" s="2" t="inlineStr">
        <is>
          <t>6</t>
        </is>
      </c>
      <c r="B7" s="2">
        <f>IF(COUNTIF(Orders!$B$2:$B$7,A2)=0,"Not Ordered","Ordered")</f>
        <v/>
      </c>
      <c r="C7" s="2" t="inlineStr">
        <is>
          <t>All 6 products have been ordered</t>
        </is>
      </c>
      <c r="D7" s="2" t="n"/>
      <c r="E7" s="2" t="n"/>
      <c r="F7" s="2" t="n"/>
    </row>
    <row r="8">
      <c r="A8" s="2" t="inlineStr">
        <is>
          <t>7</t>
        </is>
      </c>
      <c r="B8" s="2">
        <f>VLOOKUP(A12,Products!$A$2:$C$7,2,FALSE)</f>
        <v/>
      </c>
      <c r="C8" s="2" t="inlineStr">
        <is>
          <t>A=2, B=5, C=1, D=6, E=4, F=3</t>
        </is>
      </c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ProductID</t>
        </is>
      </c>
      <c r="B10" s="2" t="inlineStr">
        <is>
          <t>Product Name</t>
        </is>
      </c>
      <c r="C10" s="2" t="inlineStr">
        <is>
          <t>Total Quantity Sold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inlineStr">
        <is>
          <t>Maximum Order Value</t>
        </is>
      </c>
      <c r="F11" s="2">
        <f>MAX(Orders!J2:J7)</f>
        <v/>
      </c>
    </row>
    <row r="12">
      <c r="A12" s="2" t="n">
        <v>101</v>
      </c>
      <c r="B12" s="2">
        <f>VLOOKUP(A12,Products!$A$2:$C$7,2,FALSE)</f>
        <v/>
      </c>
      <c r="C12" s="2">
        <f>SUMIF(Orders!$B$2:$B$7,A12,Orders!$C$2:$C$7)</f>
        <v/>
      </c>
      <c r="D12" s="2" t="n"/>
      <c r="E12" s="2" t="inlineStr">
        <is>
          <t>Missing Products</t>
        </is>
      </c>
      <c r="F12" s="2" t="inlineStr">
        <is>
          <t>None</t>
        </is>
      </c>
    </row>
    <row r="13">
      <c r="A13" s="2" t="n">
        <v>102</v>
      </c>
      <c r="B13" s="2">
        <f>VLOOKUP(A13,Products!$A$2:$C$7,2,FALSE)</f>
        <v/>
      </c>
      <c r="C13" s="2">
        <f>SUMIF(Orders!$B$2:$B$7,A13,Orders!$C$2:$C$7)</f>
        <v/>
      </c>
      <c r="D13" s="2" t="n"/>
      <c r="E13" s="2" t="n"/>
      <c r="F13" s="2" t="n"/>
    </row>
    <row r="14">
      <c r="A14" s="2" t="n">
        <v>103</v>
      </c>
      <c r="B14" s="2">
        <f>VLOOKUP(A14,Products!$A$2:$C$7,2,FALSE)</f>
        <v/>
      </c>
      <c r="C14" s="2">
        <f>SUMIF(Orders!$B$2:$B$7,A14,Orders!$C$2:$C$7)</f>
        <v/>
      </c>
      <c r="D14" s="2" t="n"/>
      <c r="E14" s="2" t="n"/>
      <c r="F14" s="2" t="n"/>
    </row>
    <row r="15">
      <c r="A15" s="2" t="n">
        <v>104</v>
      </c>
      <c r="B15" s="2">
        <f>VLOOKUP(A15,Products!$A$2:$C$7,2,FALSE)</f>
        <v/>
      </c>
      <c r="C15" s="2">
        <f>SUMIF(Orders!$B$2:$B$7,A15,Orders!$C$2:$C$7)</f>
        <v/>
      </c>
      <c r="D15" s="2" t="n"/>
      <c r="E15" s="2" t="n"/>
      <c r="F15" s="2" t="n"/>
    </row>
    <row r="16">
      <c r="A16" s="2" t="n">
        <v>105</v>
      </c>
      <c r="B16" s="2">
        <f>VLOOKUP(A16,Products!$A$2:$C$7,2,FALSE)</f>
        <v/>
      </c>
      <c r="C16" s="2">
        <f>SUMIF(Orders!$B$2:$B$7,A16,Orders!$C$2:$C$7)</f>
        <v/>
      </c>
      <c r="D16" s="2" t="n"/>
      <c r="E16" s="2" t="n"/>
      <c r="F16" s="2" t="n"/>
    </row>
    <row r="17">
      <c r="A17" s="2" t="n">
        <v>106</v>
      </c>
      <c r="B17" s="2">
        <f>VLOOKUP(A17,Products!$A$2:$C$7,2,FALSE)</f>
        <v/>
      </c>
      <c r="C17" s="2">
        <f>SUMIF(Orders!$B$2:$B$7,A17,Orders!$C$2:$C$7)</f>
        <v/>
      </c>
      <c r="D17" s="2" t="n"/>
      <c r="E17" s="2" t="n"/>
      <c r="F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2026-08-09T16:19:43Z</dcterms:created>
  <dcterms:modified xmlns:dcterms="http://purl.org/dc/terms/" xmlns:xsi="http://www.w3.org/2001/XMLSchema-instance" xsi:type="dcterms:W3CDTF">2026-08-09T16:19:43Z</dcterms:modified>
</cp:coreProperties>
</file>